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ky\Documents\Projects\Bosch Projects\API Traveler Card\"/>
    </mc:Choice>
  </mc:AlternateContent>
  <xr:revisionPtr revIDLastSave="0" documentId="8_{2D83DA34-E394-41BD-AEDD-73C0766E5F80}" xr6:coauthVersionLast="47" xr6:coauthVersionMax="47" xr10:uidLastSave="{00000000-0000-0000-0000-000000000000}"/>
  <bookViews>
    <workbookView xWindow="-120" yWindow="-120" windowWidth="20730" windowHeight="11040" firstSheet="1" activeTab="3" xr2:uid="{ADD7FDCE-2EC5-4C77-B982-EEE0E348092B}"/>
  </bookViews>
  <sheets>
    <sheet name="Query1" sheetId="17" state="hidden" r:id="rId1"/>
    <sheet name="APIResponse" sheetId="22" r:id="rId2"/>
    <sheet name="Config" sheetId="1" r:id="rId3"/>
    <sheet name="Document" sheetId="3" r:id="rId4"/>
    <sheet name="Backup Document" sheetId="23" r:id="rId5"/>
  </sheets>
  <definedNames>
    <definedName name="ExternalData_1" localSheetId="1" hidden="1">APIResponse!$K$1:$L$22</definedName>
    <definedName name="ExternalData_2" localSheetId="1" hidden="1">APIResponse!$N$1:$O$4</definedName>
    <definedName name="ExternalData_2" localSheetId="2" hidden="1">Config!$D$1:$D$2</definedName>
    <definedName name="ExternalData_3" localSheetId="0" hidden="1">Query1!$A$1:$A$2</definedName>
    <definedName name="lineID">Config!$B$8</definedName>
    <definedName name="lotAssignmentStatus">Config!$B$9</definedName>
    <definedName name="partNumber">Config!$B$10</definedName>
    <definedName name="Password">Config!$B$3</definedName>
    <definedName name="Plant">Config!$B$6</definedName>
    <definedName name="_xlnm.Print_Area" localSheetId="4">'Backup Document'!$A$1:$J$32</definedName>
    <definedName name="_xlnm.Print_Area" localSheetId="3">Document!$A$1:$J$32</definedName>
    <definedName name="Status">#REF!</definedName>
    <definedName name="Statuss">#REF!</definedName>
    <definedName name="updatedET">Config!$B$12</definedName>
    <definedName name="updatedST">Config!$B$11</definedName>
    <definedName name="Username">Config!$B$2</definedName>
    <definedName name="workshopIdentifier">Config!$B$7</definedName>
  </definedNames>
  <calcPr calcId="191029" concurrentManualCount="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" l="1"/>
  <c r="E30" i="23" l="1"/>
  <c r="J17" i="23"/>
  <c r="J13" i="23"/>
  <c r="E9" i="23"/>
  <c r="J5" i="23"/>
  <c r="E5" i="23"/>
  <c r="B13" i="1"/>
  <c r="C12" i="1" l="1"/>
  <c r="C11" i="1"/>
  <c r="E30" i="3"/>
  <c r="J17" i="3"/>
  <c r="J13" i="3"/>
  <c r="J5" i="3"/>
  <c r="E5" i="3"/>
  <c r="E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2C7655-6C51-4617-A3DA-5805E107B170}" keepAlive="1" name="Query - AccessToken" description="Connection to the 'AccessToken' query in the workbook." type="5" refreshedVersion="8" saveData="1">
    <dbPr connection="Provider=Microsoft.Mashup.OleDb.1;Data Source=$Workbook$;Location=AccessToken;Extended Properties=&quot;&quot;" command="SELECT * FROM [AccessToken]"/>
  </connection>
  <connection id="2" xr16:uid="{D7A9BB3E-6774-4146-9825-B825E70DB77D}" keepAlive="1" name="Query - BOMTable" description="Connection to the 'BOMTable' query in the workbook." type="5" refreshedVersion="8" saveData="1">
    <dbPr connection="Provider=Microsoft.Mashup.OleDb.1;Data Source=$Workbook$;Location=BOMTable;Extended Properties=&quot;&quot;" command="SELECT * FROM [BOMTable]"/>
  </connection>
  <connection id="3" xr16:uid="{B802776E-D76B-44F5-8822-ABBCBF630B92}" keepAlive="1" name="Query - ConvertLargeNumberToText" description="Connection to the 'ConvertLargeNumberToText' query in the workbook." type="5" refreshedVersion="0" background="1">
    <dbPr connection="Provider=Microsoft.Mashup.OleDb.1;Data Source=$Workbook$;Location=ConvertLargeNumberToText;Extended Properties=&quot;&quot;" command="SELECT * FROM [ConvertLargeNumberToText]"/>
  </connection>
  <connection id="4" xr16:uid="{50AC0B63-5253-4C79-B013-ECA74A271AFF}" keepAlive="1" name="Query - Document" description="Connection to the 'Document' query in the workbook." type="5" refreshedVersion="8" background="1" saveData="1">
    <dbPr connection="Provider=Microsoft.Mashup.OleDb.1;Data Source=$Workbook$;Location=Document;Extended Properties=&quot;&quot;" command="SELECT * FROM [Document]"/>
  </connection>
  <connection id="5" xr16:uid="{E0C48298-E644-4B40-9EAB-13628D5F1A6B}" keepAlive="1" name="Query - GetNamedRange" description="Connection to the 'GetNamedRange' query in the workbook." type="5" refreshedVersion="0" background="1">
    <dbPr connection="Provider=Microsoft.Mashup.OleDb.1;Data Source=$Workbook$;Location=GetNamedRange;Extended Properties=&quot;&quot;" command="SELECT * FROM [GetNamedRange]"/>
  </connection>
  <connection id="6" xr16:uid="{6397270C-20F5-4EC8-9852-D34993A7871E}" keepAlive="1" name="Query - lineID" description="Connection to the 'lineID' query in the workbook." type="5" refreshedVersion="0" background="1">
    <dbPr connection="Provider=Microsoft.Mashup.OleDb.1;Data Source=$Workbook$;Location=lineID;Extended Properties=&quot;&quot;" command="SELECT * FROM [lineID]"/>
  </connection>
  <connection id="7" xr16:uid="{7553585C-B3D6-4651-A7B1-186CC5CC0984}" keepAlive="1" name="Query - lotAssignmentStat" description="Connection to the 'lotAssignmentStat' query in the workbook." type="5" refreshedVersion="0" background="1">
    <dbPr connection="Provider=Microsoft.Mashup.OleDb.1;Data Source=$Workbook$;Location=lotAssignmentStat;Extended Properties=&quot;&quot;" command="SELECT * FROM [lotAssignmentStat]"/>
  </connection>
  <connection id="8" xr16:uid="{324D0578-7D42-45A1-B6B6-40B674BB6512}" keepAlive="1" name="Query - partNum" description="Connection to the 'partNum' query in the workbook." type="5" refreshedVersion="0" background="1">
    <dbPr connection="Provider=Microsoft.Mashup.OleDb.1;Data Source=$Workbook$;Location=partNum;Extended Properties=&quot;&quot;" command="SELECT * FROM [partNum]"/>
  </connection>
  <connection id="9" xr16:uid="{F910E770-83A5-4EA7-903B-E7782F3E74BD}" keepAlive="1" name="Query - Plant" description="Connection to the 'Plant' query in the workbook." type="5" refreshedVersion="0" background="1">
    <dbPr connection="Provider=Microsoft.Mashup.OleDb.1;Data Source=$Workbook$;Location=Plant;Extended Properties=&quot;&quot;" command="SELECT * FROM [Plant]"/>
  </connection>
  <connection id="10" xr16:uid="{F2CAAAEF-3F23-48DB-A19A-227CBAE30A7D}" keepAlive="1" name="Query - PlanTable" description="Connection to the 'PlanTable' query in the workbook." type="5" refreshedVersion="8" saveData="1">
    <dbPr connection="Provider=Microsoft.Mashup.OleDb.1;Data Source=$Workbook$;Location=PlanTable;Extended Properties=&quot;&quot;" command="SELECT * FROM [PlanTable]"/>
  </connection>
  <connection id="11" xr16:uid="{9A1D14A5-EDD0-47E4-8D9B-884B4323B1D6}" keepAlive="1" name="Query - updatedET" description="Connection to the 'updatedET' query in the workbook." type="5" refreshedVersion="8" background="1" saveData="1">
    <dbPr connection="Provider=Microsoft.Mashup.OleDb.1;Data Source=$Workbook$;Location=updatedET;Extended Properties=&quot;&quot;" command="SELECT * FROM [updatedET]"/>
  </connection>
  <connection id="12" xr16:uid="{2AF65A96-D89D-4904-86CC-DC335E033F48}" keepAlive="1" name="Query - updatedST" description="Connection to the 'updatedST' query in the workbook." type="5" refreshedVersion="8" background="1" saveData="1">
    <dbPr connection="Provider=Microsoft.Mashup.OleDb.1;Data Source=$Workbook$;Location=updatedST;Extended Properties=&quot;&quot;" command="SELECT * FROM [updatedST]"/>
  </connection>
  <connection id="13" xr16:uid="{1B4589AD-340E-488B-AD2D-8DA2E4B5CB9E}" keepAlive="1" name="Query - WorkshopIdent" description="Connection to the 'WorkshopIdent' query in the workbook." type="5" refreshedVersion="0" background="1">
    <dbPr connection="Provider=Microsoft.Mashup.OleDb.1;Data Source=$Workbook$;Location=WorkshopIdent;Extended Properties=&quot;&quot;" command="SELECT * FROM [WorkshopIdent]"/>
  </connection>
</connections>
</file>

<file path=xl/sharedStrings.xml><?xml version="1.0" encoding="utf-8"?>
<sst xmlns="http://schemas.openxmlformats.org/spreadsheetml/2006/main" count="142" uniqueCount="113">
  <si>
    <t>Plant</t>
  </si>
  <si>
    <t>lotAssignmentStatus</t>
  </si>
  <si>
    <t>workshopIdentifier</t>
  </si>
  <si>
    <t>Line ID</t>
  </si>
  <si>
    <t>Lot Assignment Status</t>
  </si>
  <si>
    <t>Part Number</t>
  </si>
  <si>
    <t>orderNumber</t>
  </si>
  <si>
    <t>plannedQuantity</t>
  </si>
  <si>
    <t>actualQuantity</t>
  </si>
  <si>
    <t>updatedStart</t>
  </si>
  <si>
    <t>updatedEnd</t>
  </si>
  <si>
    <t>calculatedStart</t>
  </si>
  <si>
    <t>calculatedEnd</t>
  </si>
  <si>
    <t>plannedStart</t>
  </si>
  <si>
    <t>plannedEnd</t>
  </si>
  <si>
    <t>actualStart</t>
  </si>
  <si>
    <t>actualEnd</t>
  </si>
  <si>
    <t>replenishmentType</t>
  </si>
  <si>
    <t>lotAssignmentId</t>
  </si>
  <si>
    <t>panelSize</t>
  </si>
  <si>
    <t>lotSize</t>
  </si>
  <si>
    <t>partNumber</t>
  </si>
  <si>
    <t>partDescription</t>
  </si>
  <si>
    <t>numberPerKanban</t>
  </si>
  <si>
    <t>kanbanQuantity</t>
  </si>
  <si>
    <t>packagingSize</t>
  </si>
  <si>
    <t>AccessToken</t>
  </si>
  <si>
    <t>adp</t>
  </si>
  <si>
    <t>eyJhbGciOiJSUzI1NiIsInR5cCIgOiAiSldUIiwia2lkIiA6ICJUbGxubnhHNE12dVlvNHlGS3BLRHdmQ0RMeHFHemlYLXRIM183Z3FOMVM4In0.eyJqdGkiOiI1MzU1ZGM1OC03YzViLTRiZjEtOTVmNC0xYzQwMjNmOTYyNjEiLCJleHAiOjE2OTE2MzA3MjcsIm5iZiI6MCwiaWF0IjoxNjkxNTg3NTI3LCJpc3MiOiJodHRwczovL2tleWNsb2FrLnBwYy5ib3NjaC5jb20vYXV0aC9yZWFsbXMvUFMiLCJhdWQiOiJpbnRlcm5hbCIsInN1YiI6ImVkNTVjMTYyLTUxYjItNDU1Zi1hZDEwLTEwZjdlNmYxZWQ1OCIsInR5cCI6IkJlYXJlciIsImF6cCI6ImludGVybmFsIiwiYXV0aF90aW1lIjowLCJzZXNzaW9uX3N0YXRlIjoiMWY1NjY4YjMtMmIwMi00MTVkLTg1NTMtNjZiZTY4ZmQ2NzAwIiwiYWNyIjoiMSIsImFsbG93ZWQtb3JpZ2lucyI6W10sInJlYWxtX2FjY2VzcyI6eyJyb2xlcyI6WyJpZG0yYmNkX1BST0NPTl9QU19BRFBfU1VQRVJBRE1JTiIsImlkbTJiY2RfUFJPQ09OX1BTX0FEUF9TSE9QRkxPT1JVU0VSIiwiUkJfR1NfUFJPQ09OX1BTX0FEUF9TSE9QRkxPT1JVU0VSIiwib2ZmbGluZV9hY2Nlc3MiLCJSQl9HU19QUk9DT05fUFNfQURQX1NVUEVSQURNSU4iLCJ1bWFfYXV0aG9yaXphdGlvbiJdfSwicmVzb3VyY2VfYWNjZXNzIjp7ImFjY291bnQiOnsicm9sZXMiOlsibWFuYWdlLWFjY291bnQiLCJtYW5hZ2UtYWNjb3VudC1saW5rcyIsInZpZXctcHJvZmlsZSJdfX0sInNjb3BlIjoicHJvZmlsZSBlbWFpbCBQUyIsImVtYWlsX3ZlcmlmaWVkIjpmYWxzZSwicm9sZXMiOlsidW1hX2F1dGhvcml6YXRpb24iLCJpZG0yYmNkX1BST0NPTl9QU19BRFBfU0hPUEZMT09SVVNFUiIsIlJCX0dTX1BST0NPTl9QU19BRFBfU0hPUEZMT09SVVNFUiIsImlkbTJiY2RfUFJPQ09OX1BTX0FEUF9TVVBFUkFETUlOIiwiUkJfR1NfUFJPQ09OX1BTX0FEUF9TVVBFUkFETUlOIiwib2ZmbGluZV9hY2Nlc3MiXSwibmFtZSI6InRlY2huaWNhbHVzZXIgQVBJT1JEIiwicmVhbG0iOiJQUyIsInByZWZlcnJlZF91c2VybmFtZSI6ImFwaTFhZCIsImdpdmVuX25hbWUiOiJ0ZWNobmljYWx1c2VyIiwiZmFtaWx5X25hbWUiOiJBUElPUkQifQ.J_et0wi3ttZXNM1vCvUk2cDo0aPVT5ZholK-zUd0rTeo6D4OpkhPp4Rup0On03vksShawyz1kizJ3u4159VZo9C7Juax_27ydXqa_L0rq2oQodhqaqBbNtqjjVJNPvdl1wph4J2OymE1c1mgj2l67Mk3VssEVqL22izma21UrZ7MPiCyEhaPDu4yu9qsInHcCw3Jxj54L5mZY_Xrt8Tqs7_ZqJgGaAe5AaRAM0C6jHv2-VhgHtquN2sornAoTsOYjBSKyNiHdzvg9Tdg2SLbgB0snBxtKbmj0N34sx2896KhxbXsb2Zx8UeeCcK0Mbsg5fjq474ljK3D4CMIxek9qw</t>
  </si>
  <si>
    <t>IN_PREPARATION</t>
  </si>
  <si>
    <t>Column1</t>
  </si>
  <si>
    <t>Finished Good No.</t>
  </si>
  <si>
    <t>Amount</t>
  </si>
  <si>
    <t>Order Time:</t>
  </si>
  <si>
    <t>Sequence No.</t>
  </si>
  <si>
    <t>Harness No.</t>
  </si>
  <si>
    <t>Element / Stone Lot#</t>
  </si>
  <si>
    <t>Electrical Block</t>
  </si>
  <si>
    <t>Time out of PA</t>
  </si>
  <si>
    <t>Planned Order Date:</t>
  </si>
  <si>
    <t>Production Line</t>
  </si>
  <si>
    <t>Finishing Operation</t>
  </si>
  <si>
    <t>Oven 1st Pass Time</t>
  </si>
  <si>
    <t>1st Pass Expiration Date</t>
  </si>
  <si>
    <t>Short Sensor No.</t>
  </si>
  <si>
    <t>Long Sensor No.</t>
  </si>
  <si>
    <t>Quantity Required</t>
  </si>
  <si>
    <t>Oven 2nd Pass Time</t>
  </si>
  <si>
    <t>2nd Pass Expiration Date</t>
  </si>
  <si>
    <t>Packout 13-Digit Part No.</t>
  </si>
  <si>
    <t>Name</t>
  </si>
  <si>
    <t>Value</t>
  </si>
  <si>
    <t>Oxygen Sensor</t>
  </si>
  <si>
    <t>Wire Harness</t>
  </si>
  <si>
    <t>End time</t>
  </si>
  <si>
    <t>Start time</t>
  </si>
  <si>
    <t>Part Number(10 digit)</t>
  </si>
  <si>
    <t>Planned Start</t>
  </si>
  <si>
    <t>Message</t>
  </si>
  <si>
    <t>OK</t>
  </si>
  <si>
    <t>Production Plan API</t>
  </si>
  <si>
    <t>BOM API Server</t>
  </si>
  <si>
    <t>https://publicapi-gw.ppc-emea01.app.bosch.com/api/rest/v1/procon/adp/productionPlan</t>
  </si>
  <si>
    <t>Example:</t>
  </si>
  <si>
    <t>The plant used for the api</t>
  </si>
  <si>
    <t>The workshop ID which will change between one workshop to the other</t>
  </si>
  <si>
    <t>This line changes everytime on user input</t>
  </si>
  <si>
    <t>This line takes in the start date/time and turns it into miliseconds for the api to use</t>
  </si>
  <si>
    <t>This line takes in the end date/time and turns it into miliseconds for the api to use</t>
  </si>
  <si>
    <t>The planned date that comes from the api response</t>
  </si>
  <si>
    <t>Production Plan API -&gt;</t>
  </si>
  <si>
    <t>&lt;- BOM API</t>
  </si>
  <si>
    <t>(May have to reopen excel)</t>
  </si>
  <si>
    <t>ATTENTION!!!!!!!</t>
  </si>
  <si>
    <t>When first opening excel, click on enable macros that pops up.</t>
  </si>
  <si>
    <t xml:space="preserve">If you can't see the barcodes then double click on this object and click install to download the barcode font. </t>
  </si>
  <si>
    <t>This is a backup document for manual entry incase the API's are down.</t>
  </si>
  <si>
    <t>http://ad1lnx9.us.bosch.com/tef4-api/material/</t>
  </si>
  <si>
    <t>Status varies from PLANNED, UPCOMING, or IN_PREPARATION</t>
  </si>
  <si>
    <t>LSF - LSU</t>
  </si>
  <si>
    <t>HR</t>
  </si>
  <si>
    <t>The line that the current part number is on (L10, Planar FA L2, Planar FA L3)</t>
  </si>
  <si>
    <t>1. When first opening excel, click on enable macros that pops up.</t>
  </si>
  <si>
    <t>Production Plan Request Status:</t>
  </si>
  <si>
    <t>BOM Request Status:</t>
  </si>
  <si>
    <t>2. If you can't see the barcodes then double click on this object and click open then install to download the barcode font. (May have to reopen excel)</t>
  </si>
  <si>
    <t/>
  </si>
  <si>
    <t>No call made yet.</t>
  </si>
  <si>
    <t>[ ]</t>
  </si>
  <si>
    <t>The BOM API url, requires authentication which is acquired from the first login form</t>
  </si>
  <si>
    <t>The Procon production plan API url that takes in 13 digits (10 digits don't work on this one)</t>
  </si>
  <si>
    <t>Same part number inputted but strips away last 3 digits if 13 digits so it can send in BOM API</t>
  </si>
  <si>
    <t>Descriptions:</t>
  </si>
  <si>
    <t>Failed: Production plan failed to refresh. Will not call BOM.</t>
  </si>
  <si>
    <t>L3</t>
  </si>
  <si>
    <t>UPCOMING</t>
  </si>
  <si>
    <t>025801000U29V</t>
  </si>
  <si>
    <t>855854</t>
  </si>
  <si>
    <t>2023-11-28T17:30:47Z</t>
  </si>
  <si>
    <t>2023-11-29T02:30:47Z</t>
  </si>
  <si>
    <t>2023-10-16T12:51:36Z</t>
  </si>
  <si>
    <t>2023-10-16T21:51:36Z</t>
  </si>
  <si>
    <t>OXYGEN SENSOR</t>
  </si>
  <si>
    <t>Did it call bom?</t>
  </si>
  <si>
    <t>No</t>
  </si>
  <si>
    <t>This is to solve if production plan fails and then the same part number is called again</t>
  </si>
  <si>
    <t>6002LA0221</t>
  </si>
  <si>
    <t xml:space="preserve">{
  "Message": "OK",
  "Oxygen Sensor": "6002LA0221",
  "Wire Harness": "6002LF0182"
}
</t>
  </si>
  <si>
    <t>6002LF0182</t>
  </si>
  <si>
    <t>2023-12-04T21:15:19Z</t>
  </si>
  <si>
    <t>2023-12-05T06:15:19Z</t>
  </si>
  <si>
    <t>02580069156Y8</t>
  </si>
  <si>
    <t>eyJhbGciOiJSUzI1NiIsInR5cCIgOiAiSldUIiwia2lkIiA6ICJUbGxubnhHNE12dVlvNHlGS3BLRHdmQ0RMeHFHemlYLXRIM183Z3FOMVM4In0.eyJqdGkiOiI5YjZlZGQzZC0yMzllLTQ1ZmMtYjU3Ny04N2NmZWVmOTBjMDciLCJleHAiOjE3MDIzMjY4MTYsIm5iZiI6MCwiaWF0IjoxNzAxNzIyMDE2LCJpc3MiOiJodHRwczovL2lkbS1wcm9kMS5wcGMtZW1lYTAxLmFwcC5ib3NjaC5jb20vYXV0aC9yZWFsbXMvUFMiLCJhdWQiOiJpbnRlcm5hbCIsInN1YiI6IjA1ZTc5ZDk4LTNlMTYtNGIyNS04MDUyLTRiZTU0ZTFlZDNkNSIsInR5cCI6IkJlYXJlciIsImF6cCI6ImludGVybmFsIiwiYXV0aF90aW1lIjowLCJzZXNzaW9uX3N0YXRlIjoiN2Q0MjhiZDctOTY3NC00MmI0LWI2MDItMDlhNDE4NDE4MjJjIiwiYWNyIjoiMSIsImFsbG93ZWQtb3JpZ2lucyI6W10sInJlYWxtX2FjY2VzcyI6eyJyb2xlcyI6WyJpZG0yYmNkX1BST0NPTl9QU19BRFBfU0hPUEZMT09SVVNFUiIsIlJCX0dTX1BST0NPTl9QU19BRFBfU0hPUEZMT09SVVNFUiIsIm9mZmxpbmVfYWNjZXNzIiwidW1hX2F1dGhvcml6YXRpb24iLCJST0xFX0VYVEVSTkFMQUNDRVNTIl19LCJyZXNvdXJjZV9hY2Nlc3MiOnsiYWNjb3VudCI6eyJyb2xlcyI6WyJtYW5hZ2UtYWNjb3VudCIsIm1hbmFnZS1hY2NvdW50LWxpbmtzIiwidmlldy1wcm9maWxlIl19fSwic2NvcGUiOiJwcm9maWxlIGVtYWlsIFBTIiwiZW1haWxfdmVyaWZpZWQiOmZhbHNlLCJyb2xlcyI6WyJ1bWFfYXV0aG9yaXphdGlvbiIsImlkbTJiY2RfUFJPQ09OX1BTX0FEUF9TSE9QRkxPT1JVU0VSIiwiUkJfR1NfUFJPQ09OX1BTX0FEUF9TSE9QRkxPT1JVU0VSIiwiUk9MRV9FWFRFUk5BTEFDQ0VTUyIsIm9mZmxpbmVfYWNjZXNzIl0sIm5hbWUiOiJ0ZWNobmljYWx1c2VyIEFQSU9SRCIsInJlYWxtIjoiUFMiLCJwcmVmZXJyZWRfdXNlcm5hbWUiOiJhcGkxYWQiLCJnaXZlbl9uYW1lIjoidGVjaG5pY2FsdXNlciIsImxvY2FsZSI6ImVuIiwiZmFtaWx5X25hbWUiOiJBUElPUkQifQ.Slm-xbmotdhIkEUD0h4XHpwWK-eilPs9G1gvIoCXcWTxAgh8hVr7Bt6tujOM8pmX5VSn7mgJRwPgc1yjwdpgXGip4Z8J0sSkq58u0X0SNfFxMPQCl7ReoijF51p6-pn_18Synoi0aIspMbpTHPNcda9DuUadAwfXG14MTjeZgqLu8Xf7j_FQs-Ml1N1nNmlJYwT8kaXJSUn0tf60pRoRPi0mLdZFZv2BEmbGHns515LWSzz_7bpFHiyMHDTpgSrKteas3MxcpY5UTwNoStoeCDYRd8gnlyy5s9Xhjke_U3hxJdpgdOvaGNEYhBl0744fVxd2iBkTsfvKY-WlAl8k5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</si>
</sst>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\ h:mm"/>
    <numFmt numFmtId="165" formatCode="mm/dd/yy\ hh:mm"/>
    <numFmt numFmtId="166" formatCode="m/d/yy\ h:mm;@"/>
    <numFmt numFmtId="167" formatCode="mm/dd/yyyy\ hh:mm"/>
    <numFmt numFmtId="168" formatCode="mm/dd/yyyy"/>
  </numFmts>
  <fonts count="2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32"/>
      <color theme="1"/>
      <name val="3 of 9 Barcode"/>
      <family val="5"/>
    </font>
    <font>
      <sz val="20"/>
      <color theme="1"/>
      <name val="Calibri"/>
      <family val="2"/>
      <scheme val="minor"/>
    </font>
    <font>
      <sz val="85"/>
      <color theme="1"/>
      <name val="3 of 9 Barcode"/>
      <family val="5"/>
    </font>
    <font>
      <sz val="55"/>
      <color theme="1"/>
      <name val="3 of 9 Barcode"/>
      <family val="5"/>
    </font>
    <font>
      <sz val="14"/>
      <color theme="4"/>
      <name val="Calibri"/>
      <family val="2"/>
      <scheme val="minor"/>
    </font>
    <font>
      <sz val="13"/>
      <color theme="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rgb="FFFF0000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1"/>
      <color theme="1"/>
      <name val="3of9.ttf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sz val="22"/>
      <color rgb="FF000000"/>
      <name val="Bosch Sans Global Black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wrapText="1"/>
    </xf>
    <xf numFmtId="1" fontId="0" fillId="0" borderId="0" xfId="0" applyNumberFormat="1"/>
    <xf numFmtId="0" fontId="0" fillId="0" borderId="0" xfId="0" applyAlignment="1">
      <alignment horizontal="fill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1" fillId="0" borderId="0" xfId="0" applyFont="1"/>
    <xf numFmtId="1" fontId="11" fillId="0" borderId="0" xfId="0" applyNumberFormat="1" applyFont="1"/>
    <xf numFmtId="0" fontId="10" fillId="0" borderId="0" xfId="0" applyFont="1" applyProtection="1">
      <protection locked="0" hidden="1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left"/>
      <protection locked="0"/>
    </xf>
    <xf numFmtId="0" fontId="12" fillId="0" borderId="0" xfId="0" applyFont="1"/>
    <xf numFmtId="0" fontId="10" fillId="0" borderId="0" xfId="0" applyFont="1" applyProtection="1">
      <protection locked="0"/>
    </xf>
    <xf numFmtId="0" fontId="12" fillId="0" borderId="0" xfId="0" applyFont="1" applyAlignment="1">
      <alignment vertical="center"/>
    </xf>
    <xf numFmtId="168" fontId="0" fillId="0" borderId="0" xfId="0" applyNumberFormat="1" applyAlignment="1">
      <alignment horizontal="left"/>
    </xf>
    <xf numFmtId="14" fontId="0" fillId="0" borderId="0" xfId="0" applyNumberFormat="1"/>
    <xf numFmtId="0" fontId="15" fillId="0" borderId="0" xfId="0" applyFont="1"/>
    <xf numFmtId="0" fontId="11" fillId="0" borderId="5" xfId="0" applyFont="1" applyBorder="1"/>
    <xf numFmtId="0" fontId="0" fillId="0" borderId="5" xfId="0" applyBorder="1"/>
    <xf numFmtId="0" fontId="5" fillId="0" borderId="5" xfId="0" applyFont="1" applyBorder="1" applyAlignment="1">
      <alignment shrinkToFit="1"/>
    </xf>
    <xf numFmtId="0" fontId="0" fillId="0" borderId="6" xfId="0" applyBorder="1"/>
    <xf numFmtId="0" fontId="16" fillId="0" borderId="5" xfId="0" applyFont="1" applyBorder="1"/>
    <xf numFmtId="167" fontId="10" fillId="0" borderId="0" xfId="0" applyNumberFormat="1" applyFont="1" applyAlignment="1" applyProtection="1">
      <alignment horizontal="left"/>
      <protection locked="0"/>
    </xf>
    <xf numFmtId="0" fontId="9" fillId="0" borderId="5" xfId="0" applyFont="1" applyBorder="1" applyAlignment="1" applyProtection="1">
      <alignment horizontal="left" vertical="center"/>
      <protection locked="0"/>
    </xf>
    <xf numFmtId="168" fontId="10" fillId="0" borderId="0" xfId="0" applyNumberFormat="1" applyFont="1" applyAlignment="1" applyProtection="1">
      <alignment horizontal="left"/>
      <protection locked="0"/>
    </xf>
    <xf numFmtId="49" fontId="17" fillId="2" borderId="0" xfId="0" applyNumberFormat="1" applyFont="1" applyFill="1" applyProtection="1">
      <protection locked="0"/>
    </xf>
    <xf numFmtId="0" fontId="0" fillId="0" borderId="0" xfId="0" applyAlignment="1">
      <alignment vertical="top"/>
    </xf>
    <xf numFmtId="0" fontId="7" fillId="0" borderId="5" xfId="0" applyFont="1" applyBorder="1"/>
    <xf numFmtId="0" fontId="9" fillId="0" borderId="0" xfId="0" applyFont="1" applyAlignment="1">
      <alignment horizontal="left" vertical="top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center" shrinkToFit="1"/>
    </xf>
    <xf numFmtId="0" fontId="3" fillId="0" borderId="0" xfId="0" applyFont="1" applyAlignment="1">
      <alignment horizontal="center" vertical="center" shrinkToFit="1"/>
    </xf>
    <xf numFmtId="0" fontId="4" fillId="0" borderId="0" xfId="0" applyFont="1" applyAlignment="1">
      <alignment vertical="top"/>
    </xf>
    <xf numFmtId="0" fontId="18" fillId="0" borderId="0" xfId="0" applyFont="1"/>
    <xf numFmtId="49" fontId="11" fillId="2" borderId="0" xfId="0" applyNumberFormat="1" applyFont="1" applyFill="1" applyProtection="1">
      <protection locked="0"/>
    </xf>
    <xf numFmtId="0" fontId="19" fillId="0" borderId="0" xfId="0" applyFont="1"/>
    <xf numFmtId="0" fontId="19" fillId="0" borderId="5" xfId="0" applyFont="1" applyBorder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shrinkToFit="1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7" fillId="0" borderId="0" xfId="0" applyFont="1" applyAlignment="1">
      <alignment horizontal="center" vertical="top"/>
    </xf>
    <xf numFmtId="49" fontId="4" fillId="0" borderId="1" xfId="0" applyNumberFormat="1" applyFont="1" applyBorder="1" applyAlignment="1" applyProtection="1">
      <alignment horizontal="center" vertical="top"/>
      <protection locked="0"/>
    </xf>
    <xf numFmtId="0" fontId="4" fillId="0" borderId="2" xfId="0" applyFont="1" applyBorder="1" applyAlignment="1" applyProtection="1">
      <alignment horizontal="center" vertical="top"/>
      <protection locked="0"/>
    </xf>
    <xf numFmtId="0" fontId="4" fillId="0" borderId="3" xfId="0" applyFont="1" applyBorder="1" applyAlignment="1" applyProtection="1">
      <alignment horizontal="center" vertical="top"/>
      <protection locked="0"/>
    </xf>
    <xf numFmtId="0" fontId="4" fillId="0" borderId="4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 vertical="top"/>
      <protection locked="0"/>
    </xf>
    <xf numFmtId="0" fontId="2" fillId="0" borderId="2" xfId="0" applyFont="1" applyBorder="1" applyAlignment="1" applyProtection="1">
      <alignment horizontal="center" vertical="top"/>
      <protection locked="0"/>
    </xf>
    <xf numFmtId="0" fontId="2" fillId="0" borderId="3" xfId="0" applyFont="1" applyBorder="1" applyAlignment="1" applyProtection="1">
      <alignment horizontal="center" vertical="top"/>
      <protection locked="0"/>
    </xf>
    <xf numFmtId="0" fontId="2" fillId="0" borderId="4" xfId="0" applyFont="1" applyBorder="1" applyAlignment="1" applyProtection="1">
      <alignment horizontal="center" vertical="top"/>
      <protection locked="0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 shrinkToFit="1"/>
    </xf>
    <xf numFmtId="0" fontId="6" fillId="0" borderId="5" xfId="0" applyFont="1" applyBorder="1" applyAlignment="1">
      <alignment horizontal="center" vertical="center" shrinkToFit="1"/>
    </xf>
    <xf numFmtId="0" fontId="7" fillId="0" borderId="0" xfId="0" applyFont="1" applyAlignment="1">
      <alignment horizontal="left" vertical="top"/>
    </xf>
    <xf numFmtId="0" fontId="7" fillId="0" borderId="5" xfId="0" applyFont="1" applyBorder="1" applyAlignment="1">
      <alignment horizontal="center"/>
    </xf>
    <xf numFmtId="49" fontId="14" fillId="0" borderId="0" xfId="0" applyNumberFormat="1" applyFont="1" applyAlignment="1" applyProtection="1">
      <alignment vertical="top"/>
      <protection locked="0"/>
    </xf>
    <xf numFmtId="0" fontId="14" fillId="0" borderId="0" xfId="0" applyFont="1" applyAlignment="1" applyProtection="1">
      <alignment vertical="top"/>
      <protection locked="0"/>
    </xf>
    <xf numFmtId="0" fontId="9" fillId="0" borderId="0" xfId="0" applyFont="1" applyAlignment="1" applyProtection="1">
      <alignment vertical="top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2" xfId="0" applyFont="1" applyBorder="1" applyAlignment="1" applyProtection="1">
      <alignment vertical="center"/>
      <protection locked="0"/>
    </xf>
    <xf numFmtId="0" fontId="1" fillId="0" borderId="3" xfId="0" applyFont="1" applyBorder="1" applyAlignment="1" applyProtection="1">
      <alignment vertical="center"/>
      <protection locked="0"/>
    </xf>
    <xf numFmtId="0" fontId="1" fillId="0" borderId="4" xfId="0" applyFont="1" applyBorder="1" applyAlignment="1" applyProtection="1">
      <alignment vertical="center"/>
      <protection locked="0"/>
    </xf>
    <xf numFmtId="0" fontId="13" fillId="0" borderId="5" xfId="0" applyFont="1" applyBorder="1" applyAlignment="1">
      <alignment horizontal="center"/>
    </xf>
    <xf numFmtId="0" fontId="13" fillId="0" borderId="0" xfId="0" applyFont="1" applyAlignment="1">
      <alignment horizontal="center"/>
    </xf>
  </cellXfs>
  <cellStyles count="1">
    <cellStyle name="Normal" xfId="0" builtinId="0"/>
  </cellStyles>
  <dxfs count="9">
    <dxf>
      <numFmt numFmtId="0" formatCode="General"/>
      <alignment horizontal="fill" vertical="bottom" textRotation="0" wrapText="0" indent="0" justifyLastLine="0" shrinkToFit="0" readingOrder="0"/>
    </dxf>
    <dxf>
      <numFmt numFmtId="30" formatCode="@"/>
      <alignment horizontal="fil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1362075</xdr:colOff>
          <xdr:row>0</xdr:row>
          <xdr:rowOff>0</xdr:rowOff>
        </xdr:from>
        <xdr:to>
          <xdr:col>2</xdr:col>
          <xdr:colOff>838200</xdr:colOff>
          <xdr:row>2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1341292</xdr:colOff>
      <xdr:row>6</xdr:row>
      <xdr:rowOff>20263</xdr:rowOff>
    </xdr:from>
    <xdr:to>
      <xdr:col>14</xdr:col>
      <xdr:colOff>246297</xdr:colOff>
      <xdr:row>34</xdr:row>
      <xdr:rowOff>171709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951" y="1111308"/>
          <a:ext cx="7928643" cy="52296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125730</xdr:colOff>
      <xdr:row>20</xdr:row>
      <xdr:rowOff>1</xdr:rowOff>
    </xdr:from>
    <xdr:to>
      <xdr:col>9</xdr:col>
      <xdr:colOff>2819400</xdr:colOff>
      <xdr:row>27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2283" t="59314" r="1173" b="11634"/>
        <a:stretch/>
      </xdr:blipFill>
      <xdr:spPr>
        <a:xfrm>
          <a:off x="6221730" y="3581401"/>
          <a:ext cx="2693670" cy="1325879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26</xdr:row>
      <xdr:rowOff>107165</xdr:rowOff>
    </xdr:from>
    <xdr:to>
      <xdr:col>9</xdr:col>
      <xdr:colOff>2149894</xdr:colOff>
      <xdr:row>32</xdr:row>
      <xdr:rowOff>169544</xdr:rowOff>
    </xdr:to>
    <xdr:pic>
      <xdr:nvPicPr>
        <xdr:cNvPr id="9" name="Picture 8" descr="Bosch Logo PNG Photos | PNG Mart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350" y="4774415"/>
          <a:ext cx="2393734" cy="11996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1371600</xdr:colOff>
          <xdr:row>8</xdr:row>
          <xdr:rowOff>28575</xdr:rowOff>
        </xdr:from>
        <xdr:to>
          <xdr:col>13</xdr:col>
          <xdr:colOff>419100</xdr:colOff>
          <xdr:row>12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Bosch Sans Global Black"/>
                </a:rPr>
                <a:t>Request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1438275</xdr:colOff>
          <xdr:row>0</xdr:row>
          <xdr:rowOff>28575</xdr:rowOff>
        </xdr:from>
        <xdr:to>
          <xdr:col>12</xdr:col>
          <xdr:colOff>1838325</xdr:colOff>
          <xdr:row>1</xdr:row>
          <xdr:rowOff>228600</xdr:rowOff>
        </xdr:to>
        <xdr:sp macro="" textlink="">
          <xdr:nvSpPr>
            <xdr:cNvPr id="6147" name="Object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1381125</xdr:colOff>
          <xdr:row>14</xdr:row>
          <xdr:rowOff>142875</xdr:rowOff>
        </xdr:from>
        <xdr:to>
          <xdr:col>13</xdr:col>
          <xdr:colOff>409575</xdr:colOff>
          <xdr:row>19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Bosch Sans Global Black"/>
                </a:rPr>
                <a:t>Print Card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125730</xdr:colOff>
      <xdr:row>20</xdr:row>
      <xdr:rowOff>1</xdr:rowOff>
    </xdr:from>
    <xdr:to>
      <xdr:col>9</xdr:col>
      <xdr:colOff>2819400</xdr:colOff>
      <xdr:row>27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2283" t="59314" r="1173" b="11634"/>
        <a:stretch/>
      </xdr:blipFill>
      <xdr:spPr>
        <a:xfrm>
          <a:off x="6225540" y="3905251"/>
          <a:ext cx="2689860" cy="1329689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26</xdr:row>
      <xdr:rowOff>107165</xdr:rowOff>
    </xdr:from>
    <xdr:to>
      <xdr:col>9</xdr:col>
      <xdr:colOff>2149894</xdr:colOff>
      <xdr:row>32</xdr:row>
      <xdr:rowOff>169544</xdr:rowOff>
    </xdr:to>
    <xdr:pic>
      <xdr:nvPicPr>
        <xdr:cNvPr id="3" name="Picture 2" descr="Bosch Logo PNG Photos | PNG Mar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350" y="5143985"/>
          <a:ext cx="2401354" cy="1201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1438275</xdr:colOff>
          <xdr:row>0</xdr:row>
          <xdr:rowOff>28575</xdr:rowOff>
        </xdr:from>
        <xdr:to>
          <xdr:col>12</xdr:col>
          <xdr:colOff>1838325</xdr:colOff>
          <xdr:row>1</xdr:row>
          <xdr:rowOff>228600</xdr:rowOff>
        </xdr:to>
        <xdr:sp macro="" textlink="">
          <xdr:nvSpPr>
            <xdr:cNvPr id="9218" name="Object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1685925</xdr:colOff>
          <xdr:row>13</xdr:row>
          <xdr:rowOff>152400</xdr:rowOff>
        </xdr:from>
        <xdr:to>
          <xdr:col>13</xdr:col>
          <xdr:colOff>723900</xdr:colOff>
          <xdr:row>18</xdr:row>
          <xdr:rowOff>171450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Bosch Sans Global Black"/>
                </a:rPr>
                <a:t>Print Card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0" xr16:uid="{A1ED90B8-446B-449A-A187-0DB481F74978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53005471-6D7B-40CA-BB59-41F388ADAA24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4D066BB6-F021-4ADD-A45B-12BE6D4E3869}" autoFormatId="16" applyNumberFormats="0" applyBorderFormats="0" applyFontFormats="0" applyPatternFormats="0" applyAlignmentFormats="0" applyWidthHeightFormats="0">
  <queryTableRefresh nextId="2">
    <queryTableFields count="1">
      <queryTableField id="1" name="AccessToken" tableColumnId="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75366BE-C1C0-4E51-A1D4-2197FD569071}" name="BearerKey" displayName="BearerKey" ref="A1:A2" totalsRowShown="0">
  <autoFilter ref="A1:A2" xr:uid="{375366BE-C1C0-4E51-A1D4-2197FD569071}"/>
  <tableColumns count="1">
    <tableColumn id="1" xr3:uid="{A6D0BEA9-F24F-42BA-8795-DB60BE48AF7D}" name="Column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A1A6329-060F-4F42-BA2C-7DEBEC81D312}" name="JSON Table" displayName="JSON_Table" ref="A1:A2" totalsRowShown="0" dataDxfId="8">
  <autoFilter ref="A1:A2" xr:uid="{9A1A6329-060F-4F42-BA2C-7DEBEC81D312}"/>
  <tableColumns count="1">
    <tableColumn id="1" xr3:uid="{E2003C60-11E6-4687-945D-CD0BC53F9A96}" name="Column1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8B96A5-C8DC-463F-9B6E-82F267BF6E7F}" name="PlanTable" displayName="PlanTable" ref="K1:L22" tableType="queryTable" totalsRowShown="0">
  <autoFilter ref="K1:L22" xr:uid="{4D8B96A5-C8DC-463F-9B6E-82F267BF6E7F}"/>
  <tableColumns count="2">
    <tableColumn id="1" xr3:uid="{1734E570-8546-4D15-959C-CDB4A5999992}" uniqueName="1" name="Name" queryTableFieldId="1"/>
    <tableColumn id="2" xr3:uid="{E9F99B3D-51C2-4335-BB30-6261A64307C9}" uniqueName="2" name="Value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0F9F63-3F28-49FA-860A-4D5E156481D8}" name="BOMTable" displayName="BOMTable" ref="N1:O4" tableType="queryTable" totalsRowShown="0">
  <autoFilter ref="N1:O4" xr:uid="{F40F9F63-3F28-49FA-860A-4D5E156481D8}"/>
  <tableColumns count="2">
    <tableColumn id="1" xr3:uid="{E96E577E-2B43-4E48-B98F-A951317A6729}" uniqueName="1" name="Name" queryTableFieldId="1"/>
    <tableColumn id="2" xr3:uid="{EDD0A6F2-0715-4933-898E-CB5D2AF80417}" uniqueName="2" name="Value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3EBC361-FA35-43CE-9FA7-7746F382F234}" name="API BOM Table" displayName="API_BOM_Table" ref="E1:E2" totalsRowShown="0" headerRowDxfId="6" dataDxfId="5">
  <autoFilter ref="E1:E2" xr:uid="{63EBC361-FA35-43CE-9FA7-7746F382F234}"/>
  <tableColumns count="1">
    <tableColumn id="1" xr3:uid="{D08DFC5E-BFA4-4371-9C36-A66F2206E2FD}" name="Column1" dataDxf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45A5B04-2FC4-4608-8744-2D19CBD8007E}" name="JSON Plan Table" displayName="JSON_Plan_Table" ref="C1:C2" totalsRowShown="0" dataDxfId="3">
  <autoFilter ref="C1:C2" xr:uid="{545A5B04-2FC4-4608-8744-2D19CBD8007E}"/>
  <tableColumns count="1">
    <tableColumn id="1" xr3:uid="{B036DEAC-7EED-4640-8001-1B87B3FC0120}" name="Column1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ED3CF3-82AC-41D1-A9D6-C4418B43CB7F}" name="AccessToken" displayName="AccessToken" ref="D1:D2" tableType="queryTable" totalsRowShown="0" dataDxfId="1">
  <autoFilter ref="D1:D2" xr:uid="{CFED3CF3-82AC-41D1-A9D6-C4418B43CB7F}"/>
  <tableColumns count="1">
    <tableColumn id="1" xr3:uid="{B5ACC5F6-5705-4F62-97FE-FA88D5D3A645}" uniqueName="1" name="AccessToken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7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image" Target="../media/image5.emf"/><Relationship Id="rId4" Type="http://schemas.openxmlformats.org/officeDocument/2006/relationships/oleObject" Target="../embeddings/oleObject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F2097-6373-4F49-9086-EF5E6BC7B1AD}">
  <sheetPr codeName="Sheet4"/>
  <dimension ref="A1:J10"/>
  <sheetViews>
    <sheetView workbookViewId="0">
      <selection activeCell="A8" sqref="A8"/>
    </sheetView>
  </sheetViews>
  <sheetFormatPr defaultRowHeight="15"/>
  <cols>
    <col min="1" max="2" width="80.85546875" bestFit="1" customWidth="1"/>
  </cols>
  <sheetData>
    <row r="1" spans="1:10">
      <c r="A1" t="s">
        <v>30</v>
      </c>
    </row>
    <row r="2" spans="1:10">
      <c r="A2" t="s">
        <v>28</v>
      </c>
    </row>
    <row r="10" spans="1:10">
      <c r="J10" s="17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D3160-C0A7-4A7C-AC27-A5994FBB17E7}">
  <sheetPr codeName="Sheet8"/>
  <dimension ref="A1:Q22"/>
  <sheetViews>
    <sheetView topLeftCell="I1" workbookViewId="0">
      <selection activeCell="O7" sqref="O7"/>
    </sheetView>
  </sheetViews>
  <sheetFormatPr defaultRowHeight="15"/>
  <cols>
    <col min="1" max="1" width="10.5703125" customWidth="1"/>
    <col min="3" max="3" width="10.5703125" customWidth="1"/>
    <col min="5" max="5" width="10.5703125" customWidth="1"/>
    <col min="9" max="9" width="20.28515625" bestFit="1" customWidth="1"/>
    <col min="11" max="11" width="19" bestFit="1" customWidth="1"/>
    <col min="12" max="12" width="19.5703125" bestFit="1" customWidth="1"/>
    <col min="14" max="14" width="13.85546875" bestFit="1" customWidth="1"/>
    <col min="15" max="15" width="11" bestFit="1" customWidth="1"/>
    <col min="17" max="17" width="10.5703125" bestFit="1" customWidth="1"/>
  </cols>
  <sheetData>
    <row r="1" spans="1:17">
      <c r="A1" t="s">
        <v>30</v>
      </c>
      <c r="C1" t="s">
        <v>30</v>
      </c>
      <c r="E1" s="1" t="s">
        <v>30</v>
      </c>
      <c r="K1" t="s">
        <v>50</v>
      </c>
      <c r="L1" t="s">
        <v>51</v>
      </c>
      <c r="N1" t="s">
        <v>50</v>
      </c>
      <c r="O1" t="s">
        <v>51</v>
      </c>
    </row>
    <row r="2" spans="1:17" ht="210">
      <c r="A2" s="1"/>
      <c r="C2" s="1" t="s">
        <v>88</v>
      </c>
      <c r="E2" s="1" t="s">
        <v>107</v>
      </c>
      <c r="I2" s="7" t="s">
        <v>70</v>
      </c>
      <c r="K2" t="s">
        <v>6</v>
      </c>
      <c r="L2" t="s">
        <v>97</v>
      </c>
      <c r="N2" t="s">
        <v>58</v>
      </c>
      <c r="O2" t="s">
        <v>59</v>
      </c>
      <c r="Q2" s="7" t="s">
        <v>71</v>
      </c>
    </row>
    <row r="3" spans="1:17">
      <c r="K3" t="s">
        <v>7</v>
      </c>
      <c r="L3">
        <v>9000</v>
      </c>
      <c r="N3" t="s">
        <v>52</v>
      </c>
      <c r="O3" t="s">
        <v>106</v>
      </c>
    </row>
    <row r="4" spans="1:17">
      <c r="K4" t="s">
        <v>8</v>
      </c>
      <c r="L4">
        <v>0</v>
      </c>
      <c r="N4" t="s">
        <v>53</v>
      </c>
      <c r="O4" t="s">
        <v>108</v>
      </c>
    </row>
    <row r="5" spans="1:17">
      <c r="K5" t="s">
        <v>9</v>
      </c>
      <c r="L5" t="s">
        <v>98</v>
      </c>
    </row>
    <row r="6" spans="1:17">
      <c r="K6" t="s">
        <v>10</v>
      </c>
      <c r="L6" t="s">
        <v>99</v>
      </c>
    </row>
    <row r="7" spans="1:17">
      <c r="K7" t="s">
        <v>11</v>
      </c>
      <c r="L7" t="s">
        <v>109</v>
      </c>
    </row>
    <row r="8" spans="1:17">
      <c r="K8" t="s">
        <v>12</v>
      </c>
      <c r="L8" t="s">
        <v>110</v>
      </c>
    </row>
    <row r="9" spans="1:17">
      <c r="K9" t="s">
        <v>13</v>
      </c>
      <c r="L9" s="16" t="s">
        <v>100</v>
      </c>
    </row>
    <row r="10" spans="1:17">
      <c r="K10" t="s">
        <v>14</v>
      </c>
      <c r="L10" t="s">
        <v>101</v>
      </c>
    </row>
    <row r="11" spans="1:17">
      <c r="K11" t="s">
        <v>15</v>
      </c>
    </row>
    <row r="12" spans="1:17">
      <c r="K12" t="s">
        <v>16</v>
      </c>
    </row>
    <row r="13" spans="1:17">
      <c r="K13" t="s">
        <v>17</v>
      </c>
      <c r="L13" t="s">
        <v>80</v>
      </c>
    </row>
    <row r="14" spans="1:17">
      <c r="K14" t="s">
        <v>18</v>
      </c>
      <c r="L14">
        <v>5206</v>
      </c>
    </row>
    <row r="15" spans="1:17">
      <c r="K15" t="s">
        <v>19</v>
      </c>
    </row>
    <row r="16" spans="1:17">
      <c r="K16" t="s">
        <v>20</v>
      </c>
    </row>
    <row r="17" spans="11:12">
      <c r="K17" t="s">
        <v>1</v>
      </c>
      <c r="L17" t="s">
        <v>95</v>
      </c>
    </row>
    <row r="18" spans="11:12">
      <c r="K18" t="s">
        <v>21</v>
      </c>
      <c r="L18" t="s">
        <v>96</v>
      </c>
    </row>
    <row r="19" spans="11:12">
      <c r="K19" t="s">
        <v>22</v>
      </c>
      <c r="L19" t="s">
        <v>102</v>
      </c>
    </row>
    <row r="20" spans="11:12">
      <c r="K20" t="s">
        <v>23</v>
      </c>
      <c r="L20">
        <v>150</v>
      </c>
    </row>
    <row r="21" spans="11:12">
      <c r="K21" t="s">
        <v>24</v>
      </c>
    </row>
    <row r="22" spans="11:12">
      <c r="K22" t="s">
        <v>25</v>
      </c>
      <c r="L22">
        <v>150</v>
      </c>
    </row>
  </sheetData>
  <sheetProtection formatCells="0"/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B9FE3-8036-46F0-B759-0C0513939EDD}">
  <sheetPr codeName="Sheet1"/>
  <dimension ref="A1:L20"/>
  <sheetViews>
    <sheetView zoomScale="110" zoomScaleNormal="110" workbookViewId="0">
      <selection activeCell="D24" sqref="D24"/>
    </sheetView>
  </sheetViews>
  <sheetFormatPr defaultRowHeight="15"/>
  <cols>
    <col min="1" max="1" width="19.140625" customWidth="1"/>
    <col min="2" max="2" width="24" customWidth="1"/>
    <col min="3" max="3" width="14.140625" customWidth="1"/>
    <col min="4" max="4" width="80.85546875" bestFit="1" customWidth="1"/>
    <col min="5" max="8" width="19.5703125" bestFit="1" customWidth="1"/>
    <col min="9" max="9" width="17.140625" customWidth="1"/>
    <col min="11" max="11" width="12.5703125" bestFit="1" customWidth="1"/>
    <col min="12" max="12" width="16.7109375" bestFit="1" customWidth="1"/>
    <col min="19" max="19" width="21.28515625" bestFit="1" customWidth="1"/>
    <col min="20" max="20" width="14.140625" bestFit="1" customWidth="1"/>
  </cols>
  <sheetData>
    <row r="1" spans="1:12">
      <c r="A1" s="39"/>
      <c r="B1" s="39"/>
      <c r="D1" t="s">
        <v>26</v>
      </c>
    </row>
    <row r="2" spans="1:12">
      <c r="D2" s="3" t="s">
        <v>112</v>
      </c>
      <c r="G2" s="2"/>
      <c r="H2" s="5"/>
      <c r="I2" s="5"/>
      <c r="L2" s="4"/>
    </row>
    <row r="3" spans="1:12">
      <c r="H3" s="2"/>
      <c r="I3" s="2"/>
      <c r="K3" s="6"/>
      <c r="L3" s="2"/>
    </row>
    <row r="5" spans="1:12">
      <c r="D5" s="35" t="s">
        <v>92</v>
      </c>
      <c r="H5" s="5"/>
      <c r="I5" s="5"/>
    </row>
    <row r="6" spans="1:12">
      <c r="A6" t="s">
        <v>0</v>
      </c>
      <c r="B6" s="10" t="s">
        <v>27</v>
      </c>
      <c r="C6" s="7"/>
      <c r="D6" s="7" t="s">
        <v>64</v>
      </c>
      <c r="G6" s="7" t="s">
        <v>63</v>
      </c>
    </row>
    <row r="7" spans="1:12">
      <c r="A7" t="s">
        <v>2</v>
      </c>
      <c r="B7" s="10" t="s">
        <v>79</v>
      </c>
      <c r="D7" s="7" t="s">
        <v>65</v>
      </c>
    </row>
    <row r="8" spans="1:12">
      <c r="A8" t="s">
        <v>3</v>
      </c>
      <c r="B8" s="10" t="s">
        <v>94</v>
      </c>
      <c r="D8" s="7" t="s">
        <v>81</v>
      </c>
    </row>
    <row r="9" spans="1:12">
      <c r="A9" t="s">
        <v>4</v>
      </c>
      <c r="B9" s="10" t="s">
        <v>29</v>
      </c>
      <c r="D9" s="7" t="s">
        <v>78</v>
      </c>
    </row>
    <row r="10" spans="1:12">
      <c r="A10" t="s">
        <v>5</v>
      </c>
      <c r="B10" s="10" t="s">
        <v>111</v>
      </c>
      <c r="D10" s="7" t="s">
        <v>66</v>
      </c>
    </row>
    <row r="11" spans="1:12">
      <c r="A11" t="s">
        <v>55</v>
      </c>
      <c r="B11" s="11">
        <v>45258.691666666666</v>
      </c>
      <c r="C11" s="2">
        <f xml:space="preserve"> (B11 + 4/24 - DATE(1970,1,1)) * 86400000</f>
        <v>1701203759999.9998</v>
      </c>
      <c r="D11" s="8" t="s">
        <v>67</v>
      </c>
    </row>
    <row r="12" spans="1:12">
      <c r="A12" s="1" t="s">
        <v>54</v>
      </c>
      <c r="B12" s="11">
        <v>45258.729166666664</v>
      </c>
      <c r="C12" s="2">
        <f xml:space="preserve"> (B12 + 4/24 - DATE(1970,1,1)) * 86400000</f>
        <v>1701206999999.9995</v>
      </c>
      <c r="D12" s="8" t="s">
        <v>68</v>
      </c>
    </row>
    <row r="13" spans="1:12">
      <c r="A13" t="s">
        <v>57</v>
      </c>
      <c r="B13" s="15">
        <f>DATEVALUE(LEFT(APIResponse!L9,10))</f>
        <v>45215</v>
      </c>
      <c r="D13" s="7" t="s">
        <v>69</v>
      </c>
    </row>
    <row r="17" spans="1:4">
      <c r="A17" t="s">
        <v>56</v>
      </c>
      <c r="B17" t="str">
        <f>IF(LEN(Config!B10) = 13, LEFT(Config!B10, LEN(Config!B10) - 3), Config!B10)</f>
        <v>0258006915</v>
      </c>
      <c r="D17" s="7" t="s">
        <v>91</v>
      </c>
    </row>
    <row r="18" spans="1:4">
      <c r="A18" t="s">
        <v>61</v>
      </c>
      <c r="B18" t="s">
        <v>77</v>
      </c>
      <c r="D18" s="7" t="s">
        <v>89</v>
      </c>
    </row>
    <row r="19" spans="1:4">
      <c r="A19" t="s">
        <v>60</v>
      </c>
      <c r="B19" t="s">
        <v>62</v>
      </c>
      <c r="D19" s="7" t="s">
        <v>90</v>
      </c>
    </row>
    <row r="20" spans="1:4">
      <c r="A20" t="s">
        <v>103</v>
      </c>
      <c r="B20" t="s">
        <v>104</v>
      </c>
      <c r="D20" s="7" t="s">
        <v>105</v>
      </c>
    </row>
  </sheetData>
  <sheetProtection formatCells="0"/>
  <mergeCells count="1">
    <mergeCell ref="A1:B1"/>
  </mergeCells>
  <pageMargins left="0.7" right="0.7" top="0.75" bottom="0.75" header="0.3" footer="0.3"/>
  <pageSetup orientation="portrait" r:id="rId1"/>
  <customProperties>
    <customPr name="EpmWorksheetKeyString_GUID" r:id="rId2"/>
  </customProperties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1</xdr:col>
                <xdr:colOff>1362075</xdr:colOff>
                <xdr:row>0</xdr:row>
                <xdr:rowOff>0</xdr:rowOff>
              </from>
              <to>
                <xdr:col>2</xdr:col>
                <xdr:colOff>838200</xdr:colOff>
                <xdr:row>2</xdr:row>
                <xdr:rowOff>0</xdr:rowOff>
              </to>
            </anchor>
          </controlPr>
        </control>
      </mc:Choice>
      <mc:Fallback>
        <control shapeId="1026" r:id="rId5" name="CommandButton1"/>
      </mc:Fallback>
    </mc:AlternateContent>
  </controls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AF7A5-4754-47C9-8867-7E5E07307EBC}">
  <sheetPr codeName="Sheet3"/>
  <dimension ref="A1:O33"/>
  <sheetViews>
    <sheetView showGridLines="0" showRowColHeaders="0" tabSelected="1" zoomScale="80" zoomScaleNormal="80" workbookViewId="0">
      <selection activeCell="K7" sqref="K7"/>
    </sheetView>
  </sheetViews>
  <sheetFormatPr defaultRowHeight="15"/>
  <cols>
    <col min="1" max="1" width="1.7109375" customWidth="1"/>
    <col min="2" max="2" width="14.7109375" bestFit="1" customWidth="1"/>
    <col min="3" max="3" width="10.140625" customWidth="1"/>
    <col min="4" max="4" width="1.7109375" customWidth="1"/>
    <col min="5" max="6" width="16.7109375" customWidth="1"/>
    <col min="7" max="7" width="1.42578125" customWidth="1"/>
    <col min="8" max="8" width="19.5703125" customWidth="1"/>
    <col min="9" max="9" width="5.7109375" customWidth="1"/>
    <col min="10" max="10" width="42" customWidth="1"/>
    <col min="11" max="11" width="32.42578125" customWidth="1"/>
    <col min="12" max="12" width="15" bestFit="1" customWidth="1"/>
    <col min="13" max="13" width="56" bestFit="1" customWidth="1"/>
    <col min="14" max="14" width="11.5703125" bestFit="1" customWidth="1"/>
    <col min="15" max="15" width="19.7109375" bestFit="1" customWidth="1"/>
    <col min="16" max="16" width="17" bestFit="1" customWidth="1"/>
    <col min="17" max="17" width="11.140625" bestFit="1" customWidth="1"/>
    <col min="18" max="18" width="8.7109375" bestFit="1" customWidth="1"/>
    <col min="19" max="19" width="20.7109375" bestFit="1" customWidth="1"/>
    <col min="20" max="20" width="14.140625" bestFit="1" customWidth="1"/>
    <col min="21" max="21" width="39.7109375" bestFit="1" customWidth="1"/>
    <col min="22" max="22" width="19.28515625" bestFit="1" customWidth="1"/>
    <col min="23" max="23" width="17" bestFit="1" customWidth="1"/>
    <col min="24" max="24" width="15" bestFit="1" customWidth="1"/>
    <col min="25" max="25" width="16.5703125" bestFit="1" customWidth="1"/>
    <col min="26" max="26" width="8.140625" bestFit="1" customWidth="1"/>
    <col min="27" max="27" width="12" bestFit="1" customWidth="1"/>
  </cols>
  <sheetData>
    <row r="1" spans="2:15" ht="18.75">
      <c r="B1" s="63" t="s">
        <v>31</v>
      </c>
      <c r="C1" s="63"/>
      <c r="D1" s="27"/>
      <c r="F1" s="28" t="s">
        <v>32</v>
      </c>
      <c r="H1" s="64" t="s">
        <v>33</v>
      </c>
      <c r="I1" s="41"/>
      <c r="J1" s="23"/>
      <c r="K1" s="18"/>
      <c r="M1" s="37" t="s">
        <v>73</v>
      </c>
    </row>
    <row r="2" spans="2:15" ht="18" customHeight="1">
      <c r="B2" s="65" t="s">
        <v>86</v>
      </c>
      <c r="C2" s="66"/>
      <c r="D2" s="66"/>
      <c r="F2" s="24"/>
      <c r="G2" s="29"/>
      <c r="H2" s="64" t="s">
        <v>39</v>
      </c>
      <c r="I2" s="41"/>
      <c r="J2" s="25"/>
      <c r="K2" s="38" t="s">
        <v>82</v>
      </c>
      <c r="N2" s="7"/>
    </row>
    <row r="3" spans="2:15" ht="14.45" customHeight="1">
      <c r="B3" s="66"/>
      <c r="C3" s="66"/>
      <c r="D3" s="66"/>
      <c r="F3" s="29"/>
      <c r="G3" s="29"/>
      <c r="K3" s="38" t="s">
        <v>85</v>
      </c>
      <c r="M3" s="7"/>
      <c r="N3" s="7"/>
    </row>
    <row r="4" spans="2:15" ht="21">
      <c r="B4" s="51" t="s">
        <v>34</v>
      </c>
      <c r="C4" s="51"/>
      <c r="H4" s="51" t="s">
        <v>44</v>
      </c>
      <c r="I4" s="51"/>
      <c r="J4" s="30"/>
      <c r="K4" s="19"/>
      <c r="L4" s="12"/>
      <c r="M4" s="13"/>
    </row>
    <row r="5" spans="2:15" ht="14.45" customHeight="1">
      <c r="B5" s="56"/>
      <c r="C5" s="57"/>
      <c r="D5" s="31"/>
      <c r="E5" s="46" t="str">
        <f>CONCATENATE("*",B5,"*")</f>
        <v>**</v>
      </c>
      <c r="F5" s="46"/>
      <c r="G5" s="32"/>
      <c r="H5" s="56"/>
      <c r="I5" s="57"/>
      <c r="J5" s="46" t="str">
        <f>CONCATENATE("*",H5,"*")</f>
        <v>**</v>
      </c>
      <c r="K5" s="19"/>
      <c r="L5" s="14"/>
      <c r="M5" s="9"/>
      <c r="O5" s="9"/>
    </row>
    <row r="6" spans="2:15" ht="14.45" customHeight="1">
      <c r="B6" s="58"/>
      <c r="C6" s="59"/>
      <c r="D6" s="31"/>
      <c r="E6" s="46"/>
      <c r="F6" s="46"/>
      <c r="G6" s="32"/>
      <c r="H6" s="58"/>
      <c r="I6" s="59"/>
      <c r="J6" s="46"/>
      <c r="K6" s="19"/>
      <c r="L6" s="14"/>
      <c r="M6" s="9"/>
    </row>
    <row r="7" spans="2:15">
      <c r="K7" s="19"/>
    </row>
    <row r="8" spans="2:15" ht="14.45" customHeight="1">
      <c r="B8" s="60" t="s">
        <v>35</v>
      </c>
      <c r="C8" s="60"/>
      <c r="H8" s="41" t="s">
        <v>45</v>
      </c>
      <c r="I8" s="41"/>
      <c r="K8" s="19"/>
    </row>
    <row r="9" spans="2:15" ht="14.45" customHeight="1">
      <c r="B9" s="56"/>
      <c r="C9" s="57"/>
      <c r="D9" s="31"/>
      <c r="E9" s="61" t="str">
        <f>CONCATENATE("*",B9,"*")</f>
        <v>**</v>
      </c>
      <c r="F9" s="61"/>
      <c r="G9" s="33"/>
      <c r="H9" s="47"/>
      <c r="I9" s="48"/>
      <c r="K9" s="19"/>
    </row>
    <row r="10" spans="2:15" ht="14.45" customHeight="1">
      <c r="B10" s="58"/>
      <c r="C10" s="59"/>
      <c r="D10" s="31"/>
      <c r="E10" s="61"/>
      <c r="F10" s="61"/>
      <c r="G10" s="33"/>
      <c r="H10" s="49"/>
      <c r="I10" s="50"/>
      <c r="K10" s="19"/>
    </row>
    <row r="11" spans="2:15">
      <c r="K11" s="19"/>
    </row>
    <row r="12" spans="2:15" ht="18.75">
      <c r="B12" s="51" t="s">
        <v>36</v>
      </c>
      <c r="C12" s="51"/>
      <c r="E12" s="51" t="s">
        <v>40</v>
      </c>
      <c r="F12" s="51"/>
      <c r="G12" s="30"/>
      <c r="H12" s="41" t="s">
        <v>31</v>
      </c>
      <c r="I12" s="41"/>
      <c r="K12" s="19"/>
    </row>
    <row r="13" spans="2:15" ht="13.15" customHeight="1">
      <c r="B13" s="47"/>
      <c r="C13" s="48"/>
      <c r="E13" s="52" t="s">
        <v>86</v>
      </c>
      <c r="F13" s="53"/>
      <c r="G13" s="34"/>
      <c r="H13" s="56"/>
      <c r="I13" s="57"/>
      <c r="J13" s="46" t="str">
        <f>CONCATENATE("*",H13,"*")</f>
        <v>**</v>
      </c>
      <c r="K13" s="19"/>
    </row>
    <row r="14" spans="2:15" ht="13.15" customHeight="1">
      <c r="B14" s="49"/>
      <c r="C14" s="50"/>
      <c r="E14" s="54"/>
      <c r="F14" s="55"/>
      <c r="G14" s="34"/>
      <c r="H14" s="58"/>
      <c r="I14" s="59"/>
      <c r="J14" s="46"/>
      <c r="K14" s="19"/>
    </row>
    <row r="15" spans="2:15">
      <c r="K15" s="19"/>
    </row>
    <row r="16" spans="2:15" ht="18.75">
      <c r="B16" s="51" t="s">
        <v>37</v>
      </c>
      <c r="C16" s="51"/>
      <c r="E16" s="51" t="s">
        <v>41</v>
      </c>
      <c r="F16" s="51"/>
      <c r="G16" s="30"/>
      <c r="H16" s="41" t="s">
        <v>46</v>
      </c>
      <c r="I16" s="41"/>
      <c r="K16" s="19"/>
    </row>
    <row r="17" spans="2:12" ht="13.9" customHeight="1">
      <c r="B17" s="47"/>
      <c r="C17" s="48"/>
      <c r="E17" s="47"/>
      <c r="F17" s="48"/>
      <c r="H17" s="56"/>
      <c r="I17" s="57"/>
      <c r="J17" s="62" t="str">
        <f>CONCATENATE("*",H17,"*")</f>
        <v>**</v>
      </c>
      <c r="K17" s="19"/>
    </row>
    <row r="18" spans="2:12" ht="13.9" customHeight="1">
      <c r="B18" s="49"/>
      <c r="C18" s="50"/>
      <c r="E18" s="49"/>
      <c r="F18" s="50"/>
      <c r="H18" s="58"/>
      <c r="I18" s="59"/>
      <c r="J18" s="62"/>
      <c r="K18" s="20"/>
    </row>
    <row r="19" spans="2:12">
      <c r="K19" s="19"/>
    </row>
    <row r="20" spans="2:12" ht="18.75">
      <c r="B20" s="51" t="s">
        <v>38</v>
      </c>
      <c r="C20" s="51"/>
      <c r="E20" s="51" t="s">
        <v>42</v>
      </c>
      <c r="F20" s="51"/>
      <c r="G20" s="30"/>
      <c r="H20" s="41" t="s">
        <v>47</v>
      </c>
      <c r="I20" s="41"/>
      <c r="J20" s="30"/>
      <c r="K20" s="19"/>
    </row>
    <row r="21" spans="2:12">
      <c r="B21" s="47"/>
      <c r="C21" s="48"/>
      <c r="E21" s="47"/>
      <c r="F21" s="48"/>
      <c r="H21" s="47"/>
      <c r="I21" s="48"/>
      <c r="K21" s="19"/>
    </row>
    <row r="22" spans="2:12">
      <c r="B22" s="49"/>
      <c r="C22" s="50"/>
      <c r="E22" s="49"/>
      <c r="F22" s="50"/>
      <c r="H22" s="49"/>
      <c r="I22" s="50"/>
      <c r="K22" s="19"/>
    </row>
    <row r="23" spans="2:12">
      <c r="K23" s="22" t="s">
        <v>83</v>
      </c>
      <c r="L23" s="36" t="s">
        <v>93</v>
      </c>
    </row>
    <row r="24" spans="2:12" ht="18.75">
      <c r="E24" s="51" t="s">
        <v>43</v>
      </c>
      <c r="F24" s="51"/>
      <c r="G24" s="30"/>
      <c r="H24" s="40" t="s">
        <v>48</v>
      </c>
      <c r="I24" s="41"/>
      <c r="J24" s="30"/>
      <c r="K24" s="22" t="s">
        <v>84</v>
      </c>
      <c r="L24" s="26" t="s">
        <v>87</v>
      </c>
    </row>
    <row r="25" spans="2:12">
      <c r="E25" s="47"/>
      <c r="F25" s="48"/>
      <c r="H25" s="47"/>
      <c r="I25" s="48"/>
      <c r="K25" s="19"/>
    </row>
    <row r="26" spans="2:12">
      <c r="E26" s="49"/>
      <c r="F26" s="50"/>
      <c r="H26" s="49"/>
      <c r="I26" s="50"/>
      <c r="K26" s="19"/>
    </row>
    <row r="27" spans="2:12">
      <c r="K27" s="19"/>
    </row>
    <row r="28" spans="2:12">
      <c r="K28" s="19"/>
    </row>
    <row r="29" spans="2:12" ht="18.75">
      <c r="B29" s="40" t="s">
        <v>49</v>
      </c>
      <c r="C29" s="41"/>
      <c r="K29" s="19"/>
    </row>
    <row r="30" spans="2:12" ht="14.45" customHeight="1">
      <c r="B30" s="42" t="s">
        <v>86</v>
      </c>
      <c r="C30" s="43"/>
      <c r="E30" s="46" t="str">
        <f>CONCATENATE("*",B30,"*")</f>
        <v>**</v>
      </c>
      <c r="F30" s="46"/>
      <c r="G30" s="46"/>
      <c r="H30" s="46"/>
      <c r="K30" s="19"/>
    </row>
    <row r="31" spans="2:12" ht="14.45" customHeight="1">
      <c r="B31" s="44"/>
      <c r="C31" s="45"/>
      <c r="E31" s="46"/>
      <c r="F31" s="46"/>
      <c r="G31" s="46"/>
      <c r="H31" s="46"/>
      <c r="K31" s="19"/>
    </row>
    <row r="32" spans="2:12">
      <c r="K32" s="19"/>
    </row>
    <row r="33" spans="1:10">
      <c r="A33" s="21"/>
      <c r="B33" s="21"/>
      <c r="C33" s="21"/>
      <c r="D33" s="21"/>
      <c r="E33" s="21"/>
      <c r="F33" s="21"/>
      <c r="G33" s="21"/>
      <c r="H33" s="21"/>
      <c r="I33" s="21"/>
      <c r="J33" s="21"/>
    </row>
  </sheetData>
  <sheetProtection algorithmName="SHA-512" hashValue="3qvbZ3v3wkDv9WOkoh+p/TJ0GFXcNVvVLdTEOkgfO40UdrNqeaBVLaKwU5OE/prvT66xkWB9yzrI6/Sk1mfozQ==" saltValue="TWZb7eNJBs6sfVvwM+XJ+A==" spinCount="100000" sheet="1" formatCells="0"/>
  <mergeCells count="42">
    <mergeCell ref="B1:C1"/>
    <mergeCell ref="B4:C4"/>
    <mergeCell ref="B5:C6"/>
    <mergeCell ref="H1:I1"/>
    <mergeCell ref="B2:D3"/>
    <mergeCell ref="H4:I4"/>
    <mergeCell ref="H2:I2"/>
    <mergeCell ref="B16:C16"/>
    <mergeCell ref="B20:C20"/>
    <mergeCell ref="E16:F16"/>
    <mergeCell ref="H16:I16"/>
    <mergeCell ref="B21:C22"/>
    <mergeCell ref="J17:J18"/>
    <mergeCell ref="B17:C18"/>
    <mergeCell ref="E17:F18"/>
    <mergeCell ref="H20:I20"/>
    <mergeCell ref="H21:I22"/>
    <mergeCell ref="H17:I18"/>
    <mergeCell ref="E20:F20"/>
    <mergeCell ref="E21:F22"/>
    <mergeCell ref="J5:J6"/>
    <mergeCell ref="J13:J14"/>
    <mergeCell ref="B13:C14"/>
    <mergeCell ref="E13:F14"/>
    <mergeCell ref="H13:I14"/>
    <mergeCell ref="H5:I6"/>
    <mergeCell ref="B8:C8"/>
    <mergeCell ref="B12:C12"/>
    <mergeCell ref="H12:I12"/>
    <mergeCell ref="E5:F6"/>
    <mergeCell ref="E9:F10"/>
    <mergeCell ref="E12:F12"/>
    <mergeCell ref="B9:C10"/>
    <mergeCell ref="H8:I8"/>
    <mergeCell ref="H9:I10"/>
    <mergeCell ref="B29:C29"/>
    <mergeCell ref="B30:C31"/>
    <mergeCell ref="E30:H31"/>
    <mergeCell ref="H24:I24"/>
    <mergeCell ref="H25:I26"/>
    <mergeCell ref="E25:F26"/>
    <mergeCell ref="E24:F24"/>
  </mergeCells>
  <pageMargins left="0.25" right="0.25" top="0.75" bottom="0.75" header="0.3" footer="0.3"/>
  <pageSetup orientation="landscape" r:id="rId1"/>
  <drawing r:id="rId2"/>
  <legacyDrawing r:id="rId3"/>
  <oleObjects>
    <mc:AlternateContent xmlns:mc="http://schemas.openxmlformats.org/markup-compatibility/2006">
      <mc:Choice Requires="x14">
        <oleObject progId="Packager Shell Object" shapeId="6147" r:id="rId4">
          <objectPr defaultSize="0" autoPict="0" r:id="rId5">
            <anchor moveWithCells="1">
              <from>
                <xdr:col>12</xdr:col>
                <xdr:colOff>1438275</xdr:colOff>
                <xdr:row>0</xdr:row>
                <xdr:rowOff>28575</xdr:rowOff>
              </from>
              <to>
                <xdr:col>12</xdr:col>
                <xdr:colOff>1838325</xdr:colOff>
                <xdr:row>1</xdr:row>
                <xdr:rowOff>228600</xdr:rowOff>
              </to>
            </anchor>
          </objectPr>
        </oleObject>
      </mc:Choice>
      <mc:Fallback>
        <oleObject progId="Packager Shell Object" shapeId="6147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ShowForm">
                <anchor moveWithCells="1" sizeWithCells="1">
                  <from>
                    <xdr:col>10</xdr:col>
                    <xdr:colOff>1371600</xdr:colOff>
                    <xdr:row>8</xdr:row>
                    <xdr:rowOff>28575</xdr:rowOff>
                  </from>
                  <to>
                    <xdr:col>13</xdr:col>
                    <xdr:colOff>419100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PrintSheet">
                <anchor moveWithCells="1" sizeWithCells="1">
                  <from>
                    <xdr:col>10</xdr:col>
                    <xdr:colOff>1381125</xdr:colOff>
                    <xdr:row>14</xdr:row>
                    <xdr:rowOff>142875</xdr:rowOff>
                  </from>
                  <to>
                    <xdr:col>13</xdr:col>
                    <xdr:colOff>409575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F8CE1-DD76-4982-AE1C-5F0ECCF140F9}">
  <sheetPr codeName="Sheet5"/>
  <dimension ref="A1:O33"/>
  <sheetViews>
    <sheetView showGridLines="0" showRowColHeaders="0" zoomScale="80" zoomScaleNormal="80" workbookViewId="0">
      <selection activeCell="H5" sqref="H5:I6"/>
    </sheetView>
  </sheetViews>
  <sheetFormatPr defaultRowHeight="15"/>
  <cols>
    <col min="1" max="1" width="1.7109375" customWidth="1"/>
    <col min="2" max="2" width="14.7109375" bestFit="1" customWidth="1"/>
    <col min="3" max="3" width="10.140625" customWidth="1"/>
    <col min="4" max="4" width="1.7109375" customWidth="1"/>
    <col min="5" max="6" width="16.7109375" customWidth="1"/>
    <col min="7" max="7" width="1.42578125" customWidth="1"/>
    <col min="8" max="8" width="19.5703125" customWidth="1"/>
    <col min="9" max="9" width="5.7109375" customWidth="1"/>
    <col min="10" max="10" width="42" customWidth="1"/>
    <col min="11" max="11" width="32.42578125" customWidth="1"/>
    <col min="12" max="12" width="15" bestFit="1" customWidth="1"/>
    <col min="13" max="13" width="56" bestFit="1" customWidth="1"/>
    <col min="14" max="14" width="11.5703125" bestFit="1" customWidth="1"/>
    <col min="15" max="15" width="19.7109375" bestFit="1" customWidth="1"/>
    <col min="16" max="16" width="17" bestFit="1" customWidth="1"/>
    <col min="17" max="17" width="11.140625" bestFit="1" customWidth="1"/>
    <col min="18" max="18" width="8.7109375" bestFit="1" customWidth="1"/>
    <col min="19" max="19" width="20.7109375" bestFit="1" customWidth="1"/>
    <col min="20" max="20" width="14.140625" bestFit="1" customWidth="1"/>
    <col min="21" max="21" width="39.7109375" bestFit="1" customWidth="1"/>
    <col min="22" max="22" width="19.28515625" bestFit="1" customWidth="1"/>
    <col min="23" max="23" width="17" bestFit="1" customWidth="1"/>
    <col min="24" max="24" width="15" bestFit="1" customWidth="1"/>
    <col min="25" max="25" width="16.5703125" bestFit="1" customWidth="1"/>
    <col min="26" max="26" width="8.140625" bestFit="1" customWidth="1"/>
    <col min="27" max="27" width="12" bestFit="1" customWidth="1"/>
  </cols>
  <sheetData>
    <row r="1" spans="2:15" ht="18.75">
      <c r="B1" s="63" t="s">
        <v>31</v>
      </c>
      <c r="C1" s="63"/>
      <c r="D1" s="27"/>
      <c r="F1" s="28" t="s">
        <v>32</v>
      </c>
      <c r="H1" s="64" t="s">
        <v>33</v>
      </c>
      <c r="I1" s="41"/>
      <c r="J1" s="23"/>
      <c r="K1" s="18"/>
      <c r="M1" s="7" t="s">
        <v>73</v>
      </c>
    </row>
    <row r="2" spans="2:15" ht="18" customHeight="1">
      <c r="B2" s="67"/>
      <c r="C2" s="67"/>
      <c r="D2" s="67"/>
      <c r="F2" s="24"/>
      <c r="G2" s="29"/>
      <c r="H2" s="64" t="s">
        <v>39</v>
      </c>
      <c r="I2" s="41"/>
      <c r="J2" s="25"/>
      <c r="K2" s="18" t="s">
        <v>74</v>
      </c>
      <c r="N2" s="7"/>
    </row>
    <row r="3" spans="2:15" ht="14.45" customHeight="1">
      <c r="B3" s="67"/>
      <c r="C3" s="67"/>
      <c r="D3" s="67"/>
      <c r="F3" s="29"/>
      <c r="G3" s="29"/>
      <c r="K3" s="18" t="s">
        <v>75</v>
      </c>
      <c r="M3" s="7"/>
      <c r="N3" s="7" t="s">
        <v>72</v>
      </c>
    </row>
    <row r="4" spans="2:15" ht="21">
      <c r="B4" s="51" t="s">
        <v>34</v>
      </c>
      <c r="C4" s="51"/>
      <c r="H4" s="51" t="s">
        <v>44</v>
      </c>
      <c r="I4" s="51"/>
      <c r="J4" s="30"/>
      <c r="K4" s="19"/>
      <c r="L4" s="12"/>
      <c r="M4" s="13"/>
    </row>
    <row r="5" spans="2:15" ht="14.45" customHeight="1">
      <c r="B5" s="56"/>
      <c r="C5" s="57"/>
      <c r="D5" s="31"/>
      <c r="E5" s="46" t="str">
        <f>CONCATENATE("*",B5,"*")</f>
        <v>**</v>
      </c>
      <c r="F5" s="46"/>
      <c r="G5" s="32"/>
      <c r="H5" s="56"/>
      <c r="I5" s="57"/>
      <c r="J5" s="46" t="str">
        <f>CONCATENATE("*",H5,"*")</f>
        <v>**</v>
      </c>
      <c r="K5" s="19"/>
      <c r="L5" s="14"/>
      <c r="M5" s="9"/>
      <c r="O5" s="9"/>
    </row>
    <row r="6" spans="2:15" ht="14.45" customHeight="1">
      <c r="B6" s="58"/>
      <c r="C6" s="59"/>
      <c r="D6" s="31"/>
      <c r="E6" s="46"/>
      <c r="F6" s="46"/>
      <c r="G6" s="32"/>
      <c r="H6" s="58"/>
      <c r="I6" s="59"/>
      <c r="J6" s="46"/>
      <c r="K6" s="19"/>
      <c r="L6" s="14"/>
      <c r="M6" s="9"/>
    </row>
    <row r="7" spans="2:15">
      <c r="K7" s="19"/>
    </row>
    <row r="8" spans="2:15" ht="14.45" customHeight="1">
      <c r="B8" s="60" t="s">
        <v>35</v>
      </c>
      <c r="C8" s="60"/>
      <c r="H8" s="41" t="s">
        <v>45</v>
      </c>
      <c r="I8" s="41"/>
      <c r="K8" s="72" t="s">
        <v>76</v>
      </c>
      <c r="L8" s="73"/>
      <c r="M8" s="73"/>
      <c r="N8" s="73"/>
      <c r="O8" s="73"/>
    </row>
    <row r="9" spans="2:15" ht="14.45" customHeight="1">
      <c r="B9" s="56"/>
      <c r="C9" s="57"/>
      <c r="D9" s="31"/>
      <c r="E9" s="61" t="str">
        <f>CONCATENATE("*",B9,"*")</f>
        <v>**</v>
      </c>
      <c r="F9" s="61"/>
      <c r="G9" s="33"/>
      <c r="H9" s="47"/>
      <c r="I9" s="48"/>
      <c r="K9" s="72"/>
      <c r="L9" s="73"/>
      <c r="M9" s="73"/>
      <c r="N9" s="73"/>
      <c r="O9" s="73"/>
    </row>
    <row r="10" spans="2:15" ht="14.45" customHeight="1">
      <c r="B10" s="58"/>
      <c r="C10" s="59"/>
      <c r="D10" s="31"/>
      <c r="E10" s="61"/>
      <c r="F10" s="61"/>
      <c r="G10" s="33"/>
      <c r="H10" s="49"/>
      <c r="I10" s="50"/>
      <c r="K10" s="19"/>
    </row>
    <row r="11" spans="2:15">
      <c r="K11" s="19"/>
    </row>
    <row r="12" spans="2:15" ht="18.75">
      <c r="B12" s="51" t="s">
        <v>36</v>
      </c>
      <c r="C12" s="51"/>
      <c r="E12" s="51" t="s">
        <v>40</v>
      </c>
      <c r="F12" s="51"/>
      <c r="G12" s="30"/>
      <c r="H12" s="41" t="s">
        <v>31</v>
      </c>
      <c r="I12" s="41"/>
      <c r="K12" s="19"/>
    </row>
    <row r="13" spans="2:15" ht="13.15" customHeight="1">
      <c r="B13" s="47"/>
      <c r="C13" s="48"/>
      <c r="E13" s="52"/>
      <c r="F13" s="53"/>
      <c r="G13" s="34"/>
      <c r="H13" s="56"/>
      <c r="I13" s="57"/>
      <c r="J13" s="46" t="str">
        <f>CONCATENATE("*",H13,"*")</f>
        <v>**</v>
      </c>
      <c r="K13" s="19"/>
    </row>
    <row r="14" spans="2:15" ht="13.15" customHeight="1">
      <c r="B14" s="49"/>
      <c r="C14" s="50"/>
      <c r="E14" s="54"/>
      <c r="F14" s="55"/>
      <c r="G14" s="34"/>
      <c r="H14" s="58"/>
      <c r="I14" s="59"/>
      <c r="J14" s="46"/>
      <c r="K14" s="19"/>
    </row>
    <row r="15" spans="2:15">
      <c r="K15" s="19"/>
    </row>
    <row r="16" spans="2:15" ht="18.75">
      <c r="B16" s="51" t="s">
        <v>37</v>
      </c>
      <c r="C16" s="51"/>
      <c r="E16" s="51" t="s">
        <v>41</v>
      </c>
      <c r="F16" s="51"/>
      <c r="G16" s="30"/>
      <c r="H16" s="41" t="s">
        <v>46</v>
      </c>
      <c r="I16" s="41"/>
      <c r="K16" s="19"/>
    </row>
    <row r="17" spans="2:11" ht="13.9" customHeight="1">
      <c r="B17" s="47"/>
      <c r="C17" s="48"/>
      <c r="E17" s="47"/>
      <c r="F17" s="48"/>
      <c r="H17" s="56"/>
      <c r="I17" s="57"/>
      <c r="J17" s="62" t="str">
        <f>CONCATENATE("*",H17,"*")</f>
        <v>**</v>
      </c>
      <c r="K17" s="19"/>
    </row>
    <row r="18" spans="2:11" ht="13.9" customHeight="1">
      <c r="B18" s="49"/>
      <c r="C18" s="50"/>
      <c r="E18" s="49"/>
      <c r="F18" s="50"/>
      <c r="H18" s="58"/>
      <c r="I18" s="59"/>
      <c r="J18" s="62"/>
      <c r="K18" s="20"/>
    </row>
    <row r="19" spans="2:11">
      <c r="K19" s="19"/>
    </row>
    <row r="20" spans="2:11" ht="18.75">
      <c r="B20" s="51" t="s">
        <v>38</v>
      </c>
      <c r="C20" s="51"/>
      <c r="E20" s="51" t="s">
        <v>42</v>
      </c>
      <c r="F20" s="51"/>
      <c r="G20" s="30"/>
      <c r="H20" s="41" t="s">
        <v>47</v>
      </c>
      <c r="I20" s="41"/>
      <c r="J20" s="30"/>
      <c r="K20" s="19"/>
    </row>
    <row r="21" spans="2:11">
      <c r="B21" s="47"/>
      <c r="C21" s="48"/>
      <c r="E21" s="47"/>
      <c r="F21" s="48"/>
      <c r="H21" s="47"/>
      <c r="I21" s="48"/>
      <c r="K21" s="19"/>
    </row>
    <row r="22" spans="2:11">
      <c r="B22" s="49"/>
      <c r="C22" s="50"/>
      <c r="E22" s="49"/>
      <c r="F22" s="50"/>
      <c r="H22" s="49"/>
      <c r="I22" s="50"/>
      <c r="K22" s="19"/>
    </row>
    <row r="23" spans="2:11">
      <c r="K23" s="19"/>
    </row>
    <row r="24" spans="2:11" ht="18.75">
      <c r="E24" s="51" t="s">
        <v>43</v>
      </c>
      <c r="F24" s="51"/>
      <c r="G24" s="30"/>
      <c r="H24" s="40" t="s">
        <v>48</v>
      </c>
      <c r="I24" s="41"/>
      <c r="J24" s="30"/>
      <c r="K24" s="19"/>
    </row>
    <row r="25" spans="2:11">
      <c r="E25" s="47"/>
      <c r="F25" s="48"/>
      <c r="H25" s="47"/>
      <c r="I25" s="48"/>
      <c r="K25" s="19"/>
    </row>
    <row r="26" spans="2:11">
      <c r="E26" s="49"/>
      <c r="F26" s="50"/>
      <c r="H26" s="49"/>
      <c r="I26" s="50"/>
      <c r="K26" s="19"/>
    </row>
    <row r="27" spans="2:11">
      <c r="K27" s="19"/>
    </row>
    <row r="28" spans="2:11">
      <c r="K28" s="19"/>
    </row>
    <row r="29" spans="2:11" ht="18.75">
      <c r="B29" s="40" t="s">
        <v>49</v>
      </c>
      <c r="C29" s="41"/>
      <c r="K29" s="19"/>
    </row>
    <row r="30" spans="2:11" ht="14.45" customHeight="1">
      <c r="B30" s="68"/>
      <c r="C30" s="69"/>
      <c r="E30" s="46" t="str">
        <f>CONCATENATE("*",B30,"*")</f>
        <v>**</v>
      </c>
      <c r="F30" s="46"/>
      <c r="G30" s="46"/>
      <c r="H30" s="46"/>
      <c r="K30" s="19"/>
    </row>
    <row r="31" spans="2:11" ht="14.45" customHeight="1">
      <c r="B31" s="70"/>
      <c r="C31" s="71"/>
      <c r="E31" s="46"/>
      <c r="F31" s="46"/>
      <c r="G31" s="46"/>
      <c r="H31" s="46"/>
      <c r="K31" s="19"/>
    </row>
    <row r="33" spans="1:10">
      <c r="A33" s="21"/>
      <c r="B33" s="21"/>
      <c r="C33" s="21"/>
      <c r="D33" s="21"/>
      <c r="E33" s="21"/>
      <c r="F33" s="21"/>
      <c r="G33" s="21"/>
      <c r="H33" s="21"/>
      <c r="I33" s="21"/>
      <c r="J33" s="21"/>
    </row>
  </sheetData>
  <sheetProtection algorithmName="SHA-512" hashValue="N6OG8vUJgx4z0x8TU2VGff4PLjxpD0f73TVE4Ft7VtepClrLVmTTgVinti9oTotiuaDemMb7CNgf5LfUUVHIwg==" saltValue="imEAHjJce6qMR2hsIxPaiA==" spinCount="100000" sheet="1"/>
  <mergeCells count="43">
    <mergeCell ref="B29:C29"/>
    <mergeCell ref="B30:C31"/>
    <mergeCell ref="E30:H31"/>
    <mergeCell ref="K8:O9"/>
    <mergeCell ref="B21:C22"/>
    <mergeCell ref="E21:F22"/>
    <mergeCell ref="H21:I22"/>
    <mergeCell ref="E24:F24"/>
    <mergeCell ref="H24:I24"/>
    <mergeCell ref="E25:F26"/>
    <mergeCell ref="H25:I26"/>
    <mergeCell ref="B17:C18"/>
    <mergeCell ref="E17:F18"/>
    <mergeCell ref="H17:I18"/>
    <mergeCell ref="J17:J18"/>
    <mergeCell ref="B20:C20"/>
    <mergeCell ref="E20:F20"/>
    <mergeCell ref="H20:I20"/>
    <mergeCell ref="B13:C14"/>
    <mergeCell ref="E13:F14"/>
    <mergeCell ref="H13:I14"/>
    <mergeCell ref="J13:J14"/>
    <mergeCell ref="B16:C16"/>
    <mergeCell ref="E16:F16"/>
    <mergeCell ref="H16:I16"/>
    <mergeCell ref="B9:C10"/>
    <mergeCell ref="E9:F10"/>
    <mergeCell ref="H9:I10"/>
    <mergeCell ref="B12:C12"/>
    <mergeCell ref="E12:F12"/>
    <mergeCell ref="H12:I12"/>
    <mergeCell ref="B5:C6"/>
    <mergeCell ref="E5:F6"/>
    <mergeCell ref="H5:I6"/>
    <mergeCell ref="J5:J6"/>
    <mergeCell ref="B8:C8"/>
    <mergeCell ref="H8:I8"/>
    <mergeCell ref="B1:C1"/>
    <mergeCell ref="H1:I1"/>
    <mergeCell ref="B2:D3"/>
    <mergeCell ref="H2:I2"/>
    <mergeCell ref="B4:C4"/>
    <mergeCell ref="H4:I4"/>
  </mergeCells>
  <pageMargins left="0.25" right="0.25" top="0.75" bottom="0.75" header="0.3" footer="0.3"/>
  <pageSetup orientation="landscape" r:id="rId1"/>
  <drawing r:id="rId2"/>
  <legacyDrawing r:id="rId3"/>
  <oleObjects>
    <mc:AlternateContent xmlns:mc="http://schemas.openxmlformats.org/markup-compatibility/2006">
      <mc:Choice Requires="x14">
        <oleObject progId="Packager Shell Object" shapeId="9218" r:id="rId4">
          <objectPr defaultSize="0" autoPict="0" r:id="rId5">
            <anchor moveWithCells="1">
              <from>
                <xdr:col>12</xdr:col>
                <xdr:colOff>1438275</xdr:colOff>
                <xdr:row>0</xdr:row>
                <xdr:rowOff>28575</xdr:rowOff>
              </from>
              <to>
                <xdr:col>12</xdr:col>
                <xdr:colOff>1838325</xdr:colOff>
                <xdr:row>1</xdr:row>
                <xdr:rowOff>228600</xdr:rowOff>
              </to>
            </anchor>
          </objectPr>
        </oleObject>
      </mc:Choice>
      <mc:Fallback>
        <oleObject progId="Packager Shell Object" shapeId="9218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PrintSheet">
                <anchor moveWithCells="1" sizeWithCells="1">
                  <from>
                    <xdr:col>10</xdr:col>
                    <xdr:colOff>1685925</xdr:colOff>
                    <xdr:row>13</xdr:row>
                    <xdr:rowOff>152400</xdr:rowOff>
                  </from>
                  <to>
                    <xdr:col>13</xdr:col>
                    <xdr:colOff>723900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D0040E-AE93-4187-8F83-819B2D211E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Query1</vt:lpstr>
      <vt:lpstr>APIResponse</vt:lpstr>
      <vt:lpstr>Config</vt:lpstr>
      <vt:lpstr>Document</vt:lpstr>
      <vt:lpstr>Backup Document</vt:lpstr>
      <vt:lpstr>lineID</vt:lpstr>
      <vt:lpstr>lotAssignmentStatus</vt:lpstr>
      <vt:lpstr>partNumber</vt:lpstr>
      <vt:lpstr>Password</vt:lpstr>
      <vt:lpstr>Plant</vt:lpstr>
      <vt:lpstr>'Backup Document'!Print_Area</vt:lpstr>
      <vt:lpstr>Document!Print_Area</vt:lpstr>
      <vt:lpstr>updatedET</vt:lpstr>
      <vt:lpstr>updatedST</vt:lpstr>
      <vt:lpstr>Username</vt:lpstr>
      <vt:lpstr>workshopIdentifier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Gonzales Michael (AdP/TEF4)</dc:creator>
  <cp:lastModifiedBy>Mark Youssef</cp:lastModifiedBy>
  <cp:lastPrinted>2023-12-04T18:40:22Z</cp:lastPrinted>
  <dcterms:created xsi:type="dcterms:W3CDTF">2023-08-02T12:31:21Z</dcterms:created>
  <dcterms:modified xsi:type="dcterms:W3CDTF">2024-02-01T18:06:40Z</dcterms:modified>
</cp:coreProperties>
</file>